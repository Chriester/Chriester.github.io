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FALLOS" sheetId="2" state="visible" r:id="rId4"/>
    <sheet name="SIMULACROS" sheetId="3" state="visible" r:id="rId5"/>
    <sheet name="KPI_TEM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<sst xmlns="http://schemas.openxmlformats.org/spreadsheetml/2006/main" count="102" uniqueCount="70">
  <si>
    <t xml:space="preserve">CUADERNO DE SEGUIMIENTO — OPOSICIÓN TAI</t>
  </si>
  <si>
    <t xml:space="preserve">Hoja FALLOS: registra CADA fallo de test o simulacro (una fila por fallo). Rellena solo las columnas amarillas.</t>
  </si>
  <si>
    <t xml:space="preserve">Hoja SIMULACROS: una fila por test o simulacro completo. Las columnas de nota neta y % se calculan solas.</t>
  </si>
  <si>
    <t xml:space="preserve">Hoja KPI_TEMAS: escribe los fallos acumulados por tema y compara con tu objetivo; úsala en el mes 8 para decidir qué repasar.</t>
  </si>
  <si>
    <t xml:space="preserve">Regla del plan: un fallo por 'no lo sabía' = tarjeta Anki ese mismo día. Un fallo por 'leí mal' = entrenar subrayado de palabras clave.</t>
  </si>
  <si>
    <t xml:space="preserve">Las celdas amarillas son tuyas; las demás tienen fórmulas: no las toques.</t>
  </si>
  <si>
    <t xml:space="preserve">Fecha</t>
  </si>
  <si>
    <t xml:space="preserve">Origen (test/simulacro)</t>
  </si>
  <si>
    <t xml:space="preserve">Bloque (I-IV)</t>
  </si>
  <si>
    <t xml:space="preserve">Tema</t>
  </si>
  <si>
    <t xml:space="preserve">Pregunta (resumen)</t>
  </si>
  <si>
    <t xml:space="preserve">Causa (no sabía / dudé / leí mal)</t>
  </si>
  <si>
    <t xml:space="preserve">¿Anki hecha? (S/N)</t>
  </si>
  <si>
    <t xml:space="preserve">15/08/2026</t>
  </si>
  <si>
    <t xml:space="preserve">Test Bloque II</t>
  </si>
  <si>
    <t xml:space="preserve">II</t>
  </si>
  <si>
    <t xml:space="preserve">Tema 13 · Sistemas operativos</t>
  </si>
  <si>
    <t xml:space="preserve">Confundí SIGTERM con SIGKILL en kill -9</t>
  </si>
  <si>
    <t xml:space="preserve">no sabía</t>
  </si>
  <si>
    <t xml:space="preserve">S</t>
  </si>
  <si>
    <t xml:space="preserve">Test / Simulacro</t>
  </si>
  <si>
    <t xml:space="preserve">Nº preguntas</t>
  </si>
  <si>
    <t xml:space="preserve">Aciertos</t>
  </si>
  <si>
    <t xml:space="preserve">Fallos</t>
  </si>
  <si>
    <t xml:space="preserve">Blancos</t>
  </si>
  <si>
    <t xml:space="preserve">Nota neta</t>
  </si>
  <si>
    <t xml:space="preserve">% neto</t>
  </si>
  <si>
    <t xml:space="preserve">¿Objetivo? (≥65%)</t>
  </si>
  <si>
    <t xml:space="preserve">20/08/2026</t>
  </si>
  <si>
    <t xml:space="preserve">Test Bloque II (dossier)</t>
  </si>
  <si>
    <t xml:space="preserve">Bloque</t>
  </si>
  <si>
    <t xml:space="preserve">Fallos acumulados</t>
  </si>
  <si>
    <t xml:space="preserve">Estado (auto)</t>
  </si>
  <si>
    <t xml:space="preserve">I</t>
  </si>
  <si>
    <t xml:space="preserve">T1 Constitución</t>
  </si>
  <si>
    <t xml:space="preserve">T2 Cortes Generales</t>
  </si>
  <si>
    <t xml:space="preserve">T3 Gobierno</t>
  </si>
  <si>
    <t xml:space="preserve">T4 EBEP y transparencia</t>
  </si>
  <si>
    <t xml:space="preserve">T5 Igualdad, dependencia, discapacidad</t>
  </si>
  <si>
    <t xml:space="preserve">T6 Sociedad información y firma-e</t>
  </si>
  <si>
    <t xml:space="preserve">T7 Protección de datos</t>
  </si>
  <si>
    <t xml:space="preserve">T8 Admin electrónica, ENS/ENI</t>
  </si>
  <si>
    <t xml:space="preserve">T9 Infraestructuras comunes</t>
  </si>
  <si>
    <t xml:space="preserve">T1 Informática básica</t>
  </si>
  <si>
    <t xml:space="preserve">T2 Periféricos</t>
  </si>
  <si>
    <t xml:space="preserve">T3 Estructuras de datos</t>
  </si>
  <si>
    <t xml:space="preserve">T4 Sistemas operativos</t>
  </si>
  <si>
    <t xml:space="preserve">T5 SGBD</t>
  </si>
  <si>
    <t xml:space="preserve">III</t>
  </si>
  <si>
    <t xml:space="preserve">T1 Modelado de datos</t>
  </si>
  <si>
    <t xml:space="preserve">T2 Lenguajes de programación</t>
  </si>
  <si>
    <t xml:space="preserve">T3 SQL</t>
  </si>
  <si>
    <t xml:space="preserve">T4 POO y UML</t>
  </si>
  <si>
    <t xml:space="preserve">T5 Java EE / .NET</t>
  </si>
  <si>
    <t xml:space="preserve">T6 Cliente/servidor y servicios web</t>
  </si>
  <si>
    <t xml:space="preserve">T7 Aplicaciones web</t>
  </si>
  <si>
    <t xml:space="preserve">T8 Accesibilidad y usabilidad</t>
  </si>
  <si>
    <t xml:space="preserve">T9 Repositorios y metodologías</t>
  </si>
  <si>
    <t xml:space="preserve">IV</t>
  </si>
  <si>
    <t xml:space="preserve">T1 Administración del SO</t>
  </si>
  <si>
    <t xml:space="preserve">T2 BBDD, almacenamiento y backup</t>
  </si>
  <si>
    <t xml:space="preserve">T3 Correo, contenedores</t>
  </si>
  <si>
    <t xml:space="preserve">T4 Administración LAN</t>
  </si>
  <si>
    <t xml:space="preserve">T5 Seguridad de sistemas</t>
  </si>
  <si>
    <t xml:space="preserve">T6 Comunicaciones</t>
  </si>
  <si>
    <t xml:space="preserve">T7 TCP/IP y OSI</t>
  </si>
  <si>
    <t xml:space="preserve">T8 Internet</t>
  </si>
  <si>
    <t xml:space="preserve">T9 Seguridad perimetral y VPN</t>
  </si>
  <si>
    <t xml:space="preserve">T10 Redes locales</t>
  </si>
  <si>
    <t xml:space="preserve">Leyenda: actualiza 'Fallos acumulados' (amarillo) tras cada test. ROJO ≥5 fallos: releer ficha + test del tema. Vigilar 3-4: mazo filtrado Anki.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</si>
</sst>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A4F8B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4F8B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A4F8B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45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23.8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customFormat="false" ht="15" hidden="false" customHeight="false" outlineLevel="0" collapsed="false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23.85" hidden="false" customHeight="false" outlineLevel="0" collapsed="false">
      <c r="A1" s="3" t="s">
        <v>6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customFormat="false" ht="15" hidden="false" customHeight="false" outlineLevel="0" collapsed="false">
      <c r="A2" s="4" t="s">
        <v>28</v>
      </c>
      <c r="B2" s="4" t="s">
        <v>29</v>
      </c>
      <c r="C2" s="4" t="n">
        <v>40</v>
      </c>
      <c r="D2" s="4" t="n">
        <v>34</v>
      </c>
      <c r="E2" s="4" t="n">
        <v>6</v>
      </c>
      <c r="F2" s="4" t="n">
        <v>0</v>
      </c>
      <c r="G2" s="7" t="n">
        <f aca="false">IF(C2="","",D2-E2/3)</f>
        <v>32</v>
      </c>
      <c r="H2" s="8" t="n">
        <f aca="false">IF(C2="","",G2/C2)</f>
        <v>0.8</v>
      </c>
      <c r="I2" s="9" t="str">
        <f aca="false">IF(C2="","",IF(H2&gt;=0.65,"SÍ","NO"))</f>
        <v>SÍ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7" t="str">
        <f aca="false">IF(C3="","",D3-E3/3)</f>
        <v/>
      </c>
      <c r="H3" s="8" t="str">
        <f aca="false">IF(C3="","",G3/C3)</f>
        <v/>
      </c>
      <c r="I3" s="9" t="str">
        <f aca="false">IF(C3="","",IF(H3&gt;=0.65,"SÍ","NO"))</f>
        <v/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7" t="str">
        <f aca="false">IF(C4="","",D4-E4/3)</f>
        <v/>
      </c>
      <c r="H4" s="8" t="str">
        <f aca="false">IF(C4="","",G4/C4)</f>
        <v/>
      </c>
      <c r="I4" s="9" t="str">
        <f aca="false">IF(C4="","",IF(H4&gt;=0.65,"SÍ","NO"))</f>
        <v/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7" t="str">
        <f aca="false">IF(C5="","",D5-E5/3)</f>
        <v/>
      </c>
      <c r="H5" s="8" t="str">
        <f aca="false">IF(C5="","",G5/C5)</f>
        <v/>
      </c>
      <c r="I5" s="9" t="str">
        <f aca="false">IF(C5="","",IF(H5&gt;=0.65,"SÍ","NO"))</f>
        <v/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7" t="str">
        <f aca="false">IF(C6="","",D6-E6/3)</f>
        <v/>
      </c>
      <c r="H6" s="8" t="str">
        <f aca="false">IF(C6="","",G6/C6)</f>
        <v/>
      </c>
      <c r="I6" s="9" t="str">
        <f aca="false">IF(C6="","",IF(H6&gt;=0.65,"SÍ","NO"))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7" t="str">
        <f aca="false">IF(C7="","",D7-E7/3)</f>
        <v/>
      </c>
      <c r="H7" s="8" t="str">
        <f aca="false">IF(C7="","",G7/C7)</f>
        <v/>
      </c>
      <c r="I7" s="9" t="str">
        <f aca="false">IF(C7="","",IF(H7&gt;=0.65,"SÍ","NO"))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7" t="str">
        <f aca="false">IF(C8="","",D8-E8/3)</f>
        <v/>
      </c>
      <c r="H8" s="8" t="str">
        <f aca="false">IF(C8="","",G8/C8)</f>
        <v/>
      </c>
      <c r="I8" s="9" t="str">
        <f aca="false">IF(C8="","",IF(H8&gt;=0.65,"SÍ","NO"))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7" t="str">
        <f aca="false">IF(C9="","",D9-E9/3)</f>
        <v/>
      </c>
      <c r="H9" s="8" t="str">
        <f aca="false">IF(C9="","",G9/C9)</f>
        <v/>
      </c>
      <c r="I9" s="9" t="str">
        <f aca="false">IF(C9="","",IF(H9&gt;=0.65,"SÍ","NO"))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7" t="str">
        <f aca="false">IF(C10="","",D10-E10/3)</f>
        <v/>
      </c>
      <c r="H10" s="8" t="str">
        <f aca="false">IF(C10="","",G10/C10)</f>
        <v/>
      </c>
      <c r="I10" s="9" t="str">
        <f aca="false">IF(C10="","",IF(H10&gt;=0.65,"SÍ","NO"))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7" t="str">
        <f aca="false">IF(C11="","",D11-E11/3)</f>
        <v/>
      </c>
      <c r="H11" s="8" t="str">
        <f aca="false">IF(C11="","",G11/C11)</f>
        <v/>
      </c>
      <c r="I11" s="9" t="str">
        <f aca="false">IF(C11="","",IF(H11&gt;=0.65,"SÍ","NO"))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7" t="str">
        <f aca="false">IF(C12="","",D12-E12/3)</f>
        <v/>
      </c>
      <c r="H12" s="8" t="str">
        <f aca="false">IF(C12="","",G12/C12)</f>
        <v/>
      </c>
      <c r="I12" s="9" t="str">
        <f aca="false">IF(C12="","",IF(H12&gt;=0.65,"SÍ","NO"))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7" t="str">
        <f aca="false">IF(C13="","",D13-E13/3)</f>
        <v/>
      </c>
      <c r="H13" s="8" t="str">
        <f aca="false">IF(C13="","",G13/C13)</f>
        <v/>
      </c>
      <c r="I13" s="9" t="str">
        <f aca="false">IF(C13="","",IF(H13&gt;=0.65,"SÍ","NO"))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7" t="str">
        <f aca="false">IF(C14="","",D14-E14/3)</f>
        <v/>
      </c>
      <c r="H14" s="8" t="str">
        <f aca="false">IF(C14="","",G14/C14)</f>
        <v/>
      </c>
      <c r="I14" s="9" t="str">
        <f aca="false">IF(C14="","",IF(H14&gt;=0.65,"SÍ","NO"))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7" t="str">
        <f aca="false">IF(C15="","",D15-E15/3)</f>
        <v/>
      </c>
      <c r="H15" s="8" t="str">
        <f aca="false">IF(C15="","",G15/C15)</f>
        <v/>
      </c>
      <c r="I15" s="9" t="str">
        <f aca="false">IF(C15="","",IF(H15&gt;=0.65,"SÍ","NO"))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7" t="str">
        <f aca="false">IF(C16="","",D16-E16/3)</f>
        <v/>
      </c>
      <c r="H16" s="8" t="str">
        <f aca="false">IF(C16="","",G16/C16)</f>
        <v/>
      </c>
      <c r="I16" s="9" t="str">
        <f aca="false">IF(C16="","",IF(H16&gt;=0.65,"SÍ","NO"))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7" t="str">
        <f aca="false">IF(C17="","",D17-E17/3)</f>
        <v/>
      </c>
      <c r="H17" s="8" t="str">
        <f aca="false">IF(C17="","",G17/C17)</f>
        <v/>
      </c>
      <c r="I17" s="9" t="str">
        <f aca="false">IF(C17="","",IF(H17&gt;=0.65,"SÍ","NO"))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7" t="str">
        <f aca="false">IF(C18="","",D18-E18/3)</f>
        <v/>
      </c>
      <c r="H18" s="8" t="str">
        <f aca="false">IF(C18="","",G18/C18)</f>
        <v/>
      </c>
      <c r="I18" s="9" t="str">
        <f aca="false">IF(C18="","",IF(H18&gt;=0.65,"SÍ","NO"))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7" t="str">
        <f aca="false">IF(C19="","",D19-E19/3)</f>
        <v/>
      </c>
      <c r="H19" s="8" t="str">
        <f aca="false">IF(C19="","",G19/C19)</f>
        <v/>
      </c>
      <c r="I19" s="9" t="str">
        <f aca="false">IF(C19="","",IF(H19&gt;=0.65,"SÍ","NO"))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7" t="str">
        <f aca="false">IF(C20="","",D20-E20/3)</f>
        <v/>
      </c>
      <c r="H20" s="8" t="str">
        <f aca="false">IF(C20="","",G20/C20)</f>
        <v/>
      </c>
      <c r="I20" s="9" t="str">
        <f aca="false">IF(C20="","",IF(H20&gt;=0.65,"SÍ","NO"))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7" t="str">
        <f aca="false">IF(C21="","",D21-E21/3)</f>
        <v/>
      </c>
      <c r="H21" s="8" t="str">
        <f aca="false">IF(C21="","",G21/C21)</f>
        <v/>
      </c>
      <c r="I21" s="9" t="str">
        <f aca="false">IF(C21="","",IF(H21&gt;=0.65,"SÍ","NO"))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7" t="str">
        <f aca="false">IF(C22="","",D22-E22/3)</f>
        <v/>
      </c>
      <c r="H22" s="8" t="str">
        <f aca="false">IF(C22="","",G22/C22)</f>
        <v/>
      </c>
      <c r="I22" s="9" t="str">
        <f aca="false">IF(C22="","",IF(H22&gt;=0.65,"SÍ","NO"))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7" t="str">
        <f aca="false">IF(C23="","",D23-E23/3)</f>
        <v/>
      </c>
      <c r="H23" s="8" t="str">
        <f aca="false">IF(C23="","",G23/C23)</f>
        <v/>
      </c>
      <c r="I23" s="9" t="str">
        <f aca="false">IF(C23="","",IF(H23&gt;=0.65,"SÍ","NO"))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7" t="str">
        <f aca="false">IF(C24="","",D24-E24/3)</f>
        <v/>
      </c>
      <c r="H24" s="8" t="str">
        <f aca="false">IF(C24="","",G24/C24)</f>
        <v/>
      </c>
      <c r="I24" s="9" t="str">
        <f aca="false">IF(C24="","",IF(H24&gt;=0.65,"SÍ","NO"))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7" t="str">
        <f aca="false">IF(C25="","",D25-E25/3)</f>
        <v/>
      </c>
      <c r="H25" s="8" t="str">
        <f aca="false">IF(C25="","",G25/C25)</f>
        <v/>
      </c>
      <c r="I25" s="9" t="str">
        <f aca="false">IF(C25="","",IF(H25&gt;=0.65,"SÍ","NO"))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7" t="str">
        <f aca="false">IF(C26="","",D26-E26/3)</f>
        <v/>
      </c>
      <c r="H26" s="8" t="str">
        <f aca="false">IF(C26="","",G26/C26)</f>
        <v/>
      </c>
      <c r="I26" s="9" t="str">
        <f aca="false">IF(C26="","",IF(H26&gt;=0.65,"SÍ","NO"))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7" t="str">
        <f aca="false">IF(C27="","",D27-E27/3)</f>
        <v/>
      </c>
      <c r="H27" s="8" t="str">
        <f aca="false">IF(C27="","",G27/C27)</f>
        <v/>
      </c>
      <c r="I27" s="9" t="str">
        <f aca="false">IF(C27="","",IF(H27&gt;=0.65,"SÍ","NO"))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7" t="str">
        <f aca="false">IF(C28="","",D28-E28/3)</f>
        <v/>
      </c>
      <c r="H28" s="8" t="str">
        <f aca="false">IF(C28="","",G28/C28)</f>
        <v/>
      </c>
      <c r="I28" s="9" t="str">
        <f aca="false">IF(C28="","",IF(H28&gt;=0.65,"SÍ","NO"))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7" t="str">
        <f aca="false">IF(C29="","",D29-E29/3)</f>
        <v/>
      </c>
      <c r="H29" s="8" t="str">
        <f aca="false">IF(C29="","",G29/C29)</f>
        <v/>
      </c>
      <c r="I29" s="9" t="str">
        <f aca="false">IF(C29="","",IF(H29&gt;=0.65,"SÍ","NO"))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7" t="str">
        <f aca="false">IF(C30="","",D30-E30/3)</f>
        <v/>
      </c>
      <c r="H30" s="8" t="str">
        <f aca="false">IF(C30="","",G30/C30)</f>
        <v/>
      </c>
      <c r="I30" s="9" t="str">
        <f aca="false">IF(C30="","",IF(H30&gt;=0.65,"SÍ","NO"))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7" t="str">
        <f aca="false">IF(C31="","",D31-E31/3)</f>
        <v/>
      </c>
      <c r="H31" s="8" t="str">
        <f aca="false">IF(C31="","",G31/C31)</f>
        <v/>
      </c>
      <c r="I31" s="9" t="str">
        <f aca="false">IF(C31="","",IF(H31&gt;=0.65,"SÍ","NO"))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7" t="str">
        <f aca="false">IF(C32="","",D32-E32/3)</f>
        <v/>
      </c>
      <c r="H32" s="8" t="str">
        <f aca="false">IF(C32="","",G32/C32)</f>
        <v/>
      </c>
      <c r="I32" s="9" t="str">
        <f aca="false">IF(C32="","",IF(H32&gt;=0.65,"SÍ","NO"))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7" t="str">
        <f aca="false">IF(C33="","",D33-E33/3)</f>
        <v/>
      </c>
      <c r="H33" s="8" t="str">
        <f aca="false">IF(C33="","",G33/C33)</f>
        <v/>
      </c>
      <c r="I33" s="9" t="str">
        <f aca="false">IF(C33="","",IF(H33&gt;=0.65,"SÍ","NO"))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7" t="str">
        <f aca="false">IF(C34="","",D34-E34/3)</f>
        <v/>
      </c>
      <c r="H34" s="8" t="str">
        <f aca="false">IF(C34="","",G34/C34)</f>
        <v/>
      </c>
      <c r="I34" s="9" t="str">
        <f aca="false">IF(C34="","",IF(H34&gt;=0.65,"SÍ","NO"))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7" t="str">
        <f aca="false">IF(C35="","",D35-E35/3)</f>
        <v/>
      </c>
      <c r="H35" s="8" t="str">
        <f aca="false">IF(C35="","",G35/C35)</f>
        <v/>
      </c>
      <c r="I35" s="9" t="str">
        <f aca="false">IF(C35="","",IF(H35&gt;=0.65,"SÍ","NO"))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7" t="str">
        <f aca="false">IF(C36="","",D36-E36/3)</f>
        <v/>
      </c>
      <c r="H36" s="8" t="str">
        <f aca="false">IF(C36="","",G36/C36)</f>
        <v/>
      </c>
      <c r="I36" s="9" t="str">
        <f aca="false">IF(C36="","",IF(H36&gt;=0.65,"SÍ","NO"))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7" t="str">
        <f aca="false">IF(C37="","",D37-E37/3)</f>
        <v/>
      </c>
      <c r="H37" s="8" t="str">
        <f aca="false">IF(C37="","",G37/C37)</f>
        <v/>
      </c>
      <c r="I37" s="9" t="str">
        <f aca="false">IF(C37="","",IF(H37&gt;=0.65,"SÍ","NO"))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7" t="str">
        <f aca="false">IF(C38="","",D38-E38/3)</f>
        <v/>
      </c>
      <c r="H38" s="8" t="str">
        <f aca="false">IF(C38="","",G38/C38)</f>
        <v/>
      </c>
      <c r="I38" s="9" t="str">
        <f aca="false">IF(C38="","",IF(H38&gt;=0.65,"SÍ","NO"))</f>
        <v/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7" t="str">
        <f aca="false">IF(C39="","",D39-E39/3)</f>
        <v/>
      </c>
      <c r="H39" s="8" t="str">
        <f aca="false">IF(C39="","",G39/C39)</f>
        <v/>
      </c>
      <c r="I39" s="9" t="str">
        <f aca="false">IF(C39="","",IF(H39&gt;=0.65,"SÍ","NO"))</f>
        <v/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7" t="str">
        <f aca="false">IF(C40="","",D40-E40/3)</f>
        <v/>
      </c>
      <c r="H40" s="8" t="str">
        <f aca="false">IF(C40="","",G40/C40)</f>
        <v/>
      </c>
      <c r="I40" s="9" t="str">
        <f aca="false">IF(C40="","",IF(H40&gt;=0.65,"SÍ","NO"))</f>
        <v/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7" t="str">
        <f aca="false">IF(C41="","",D41-E41/3)</f>
        <v/>
      </c>
      <c r="H41" s="8" t="str">
        <f aca="false">IF(C41="","",G41/C41)</f>
        <v/>
      </c>
      <c r="I41" s="9" t="str">
        <f aca="false">IF(C41="","",IF(H41&gt;=0.65,"SÍ","NO"))</f>
        <v/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7" t="str">
        <f aca="false">IF(C42="","",D42-E42/3)</f>
        <v/>
      </c>
      <c r="H42" s="8" t="str">
        <f aca="false">IF(C42="","",G42/C42)</f>
        <v/>
      </c>
      <c r="I42" s="9" t="str">
        <f aca="false">IF(C42="","",IF(H42&gt;=0.65,"SÍ","NO"))</f>
        <v/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7" t="str">
        <f aca="false">IF(C43="","",D43-E43/3)</f>
        <v/>
      </c>
      <c r="H43" s="8" t="str">
        <f aca="false">IF(C43="","",G43/C43)</f>
        <v/>
      </c>
      <c r="I43" s="9" t="str">
        <f aca="false">IF(C43="","",IF(H43&gt;=0.65,"SÍ","NO"))</f>
        <v/>
      </c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7" t="str">
        <f aca="false">IF(C44="","",D44-E44/3)</f>
        <v/>
      </c>
      <c r="H44" s="8" t="str">
        <f aca="false">IF(C44="","",G44/C44)</f>
        <v/>
      </c>
      <c r="I44" s="9" t="str">
        <f aca="false">IF(C44="","",IF(H44&gt;=0.65,"SÍ","NO"))</f>
        <v/>
      </c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7" t="str">
        <f aca="false">IF(C45="","",D45-E45/3)</f>
        <v/>
      </c>
      <c r="H45" s="8" t="str">
        <f aca="false">IF(C45="","",G45/C45)</f>
        <v/>
      </c>
      <c r="I45" s="9" t="str">
        <f aca="false">IF(C45="","",IF(H45&gt;=0.65,"SÍ","NO"))</f>
        <v/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7" t="str">
        <f aca="false">IF(C46="","",D46-E46/3)</f>
        <v/>
      </c>
      <c r="H46" s="8" t="str">
        <f aca="false">IF(C46="","",G46/C46)</f>
        <v/>
      </c>
      <c r="I46" s="9" t="str">
        <f aca="false">IF(C46="","",IF(H46&gt;=0.65,"SÍ","NO"))</f>
        <v/>
      </c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7" t="str">
        <f aca="false">IF(C47="","",D47-E47/3)</f>
        <v/>
      </c>
      <c r="H47" s="8" t="str">
        <f aca="false">IF(C47="","",G47/C47)</f>
        <v/>
      </c>
      <c r="I47" s="9" t="str">
        <f aca="false">IF(C47="","",IF(H47&gt;=0.65,"SÍ","NO"))</f>
        <v/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7" t="str">
        <f aca="false">IF(C48="","",D48-E48/3)</f>
        <v/>
      </c>
      <c r="H48" s="8" t="str">
        <f aca="false">IF(C48="","",G48/C48)</f>
        <v/>
      </c>
      <c r="I48" s="9" t="str">
        <f aca="false">IF(C48="","",IF(H48&gt;=0.65,"SÍ","NO"))</f>
        <v/>
      </c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7" t="str">
        <f aca="false">IF(C49="","",D49-E49/3)</f>
        <v/>
      </c>
      <c r="H49" s="8" t="str">
        <f aca="false">IF(C49="","",G49/C49)</f>
        <v/>
      </c>
      <c r="I49" s="9" t="str">
        <f aca="false">IF(C49="","",IF(H49&gt;=0.65,"SÍ","NO"))</f>
        <v/>
      </c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7" t="str">
        <f aca="false">IF(C50="","",D50-E50/3)</f>
        <v/>
      </c>
      <c r="H50" s="8" t="str">
        <f aca="false">IF(C50="","",G50/C50)</f>
        <v/>
      </c>
      <c r="I50" s="9" t="str">
        <f aca="false">IF(C50="","",IF(H50&gt;=0.65,"SÍ","NO"))</f>
        <v/>
      </c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7" t="str">
        <f aca="false">IF(C51="","",D51-E51/3)</f>
        <v/>
      </c>
      <c r="H51" s="8" t="str">
        <f aca="false">IF(C51="","",G51/C51)</f>
        <v/>
      </c>
      <c r="I51" s="9" t="str">
        <f aca="false">IF(C51="","",IF(H51&gt;=0.65,"SÍ","NO"))</f>
        <v/>
      </c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7" t="str">
        <f aca="false">IF(C52="","",D52-E52/3)</f>
        <v/>
      </c>
      <c r="H52" s="8" t="str">
        <f aca="false">IF(C52="","",G52/C52)</f>
        <v/>
      </c>
      <c r="I52" s="9" t="str">
        <f aca="false">IF(C52="","",IF(H52&gt;=0.65,"SÍ","NO"))</f>
        <v/>
      </c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7" t="str">
        <f aca="false">IF(C53="","",D53-E53/3)</f>
        <v/>
      </c>
      <c r="H53" s="8" t="str">
        <f aca="false">IF(C53="","",G53/C53)</f>
        <v/>
      </c>
      <c r="I53" s="9" t="str">
        <f aca="false">IF(C53="","",IF(H53&gt;=0.65,"SÍ","NO"))</f>
        <v/>
      </c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7" t="str">
        <f aca="false">IF(C54="","",D54-E54/3)</f>
        <v/>
      </c>
      <c r="H54" s="8" t="str">
        <f aca="false">IF(C54="","",G54/C54)</f>
        <v/>
      </c>
      <c r="I54" s="9" t="str">
        <f aca="false">IF(C54="","",IF(H54&gt;=0.65,"SÍ","NO"))</f>
        <v/>
      </c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7" t="str">
        <f aca="false">IF(C55="","",D55-E55/3)</f>
        <v/>
      </c>
      <c r="H55" s="8" t="str">
        <f aca="false">IF(C55="","",G55/C55)</f>
        <v/>
      </c>
      <c r="I55" s="9" t="str">
        <f aca="false">IF(C55="","",IF(H55&gt;=0.65,"SÍ","NO"))</f>
        <v/>
      </c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7" t="str">
        <f aca="false">IF(C56="","",D56-E56/3)</f>
        <v/>
      </c>
      <c r="H56" s="8" t="str">
        <f aca="false">IF(C56="","",G56/C56)</f>
        <v/>
      </c>
      <c r="I56" s="9" t="str">
        <f aca="false">IF(C56="","",IF(H56&gt;=0.65,"SÍ","NO"))</f>
        <v/>
      </c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7" t="str">
        <f aca="false">IF(C57="","",D57-E57/3)</f>
        <v/>
      </c>
      <c r="H57" s="8" t="str">
        <f aca="false">IF(C57="","",G57/C57)</f>
        <v/>
      </c>
      <c r="I57" s="9" t="str">
        <f aca="false">IF(C57="","",IF(H57&gt;=0.65,"SÍ","NO"))</f>
        <v/>
      </c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7" t="str">
        <f aca="false">IF(C58="","",D58-E58/3)</f>
        <v/>
      </c>
      <c r="H58" s="8" t="str">
        <f aca="false">IF(C58="","",G58/C58)</f>
        <v/>
      </c>
      <c r="I58" s="9" t="str">
        <f aca="false">IF(C58="","",IF(H58&gt;=0.65,"SÍ","NO"))</f>
        <v/>
      </c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7" t="str">
        <f aca="false">IF(C59="","",D59-E59/3)</f>
        <v/>
      </c>
      <c r="H59" s="8" t="str">
        <f aca="false">IF(C59="","",G59/C59)</f>
        <v/>
      </c>
      <c r="I59" s="9" t="str">
        <f aca="false">IF(C59="","",IF(H59&gt;=0.65,"SÍ","NO"))</f>
        <v/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7" t="str">
        <f aca="false">IF(C60="","",D60-E60/3)</f>
        <v/>
      </c>
      <c r="H60" s="8" t="str">
        <f aca="false">IF(C60="","",G60/C60)</f>
        <v/>
      </c>
      <c r="I60" s="9" t="str">
        <f aca="false">IF(C60="","",IF(H60&gt;=0.65,"SÍ","NO"))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0" t="s">
        <v>30</v>
      </c>
      <c r="B1" s="10" t="s">
        <v>9</v>
      </c>
      <c r="C1" s="10" t="s">
        <v>31</v>
      </c>
      <c r="D1" s="10" t="s">
        <v>32</v>
      </c>
    </row>
    <row r="2" customFormat="false" ht="15" hidden="false" customHeight="false" outlineLevel="0" collapsed="false">
      <c r="A2" s="9" t="s">
        <v>33</v>
      </c>
      <c r="B2" s="9" t="s">
        <v>34</v>
      </c>
      <c r="C2" s="4" t="n">
        <v>0</v>
      </c>
      <c r="D2" s="9" t="str">
        <f aca="false">IF(C2&gt;=5,"ROJO: repasar",IF(C2&gt;=3,"Vigilar","OK"))</f>
        <v>OK</v>
      </c>
    </row>
    <row r="3" customFormat="false" ht="15" hidden="false" customHeight="false" outlineLevel="0" collapsed="false">
      <c r="A3" s="9" t="s">
        <v>33</v>
      </c>
      <c r="B3" s="9" t="s">
        <v>35</v>
      </c>
      <c r="C3" s="4" t="n">
        <v>0</v>
      </c>
      <c r="D3" s="9" t="str">
        <f aca="false">IF(C3&gt;=5,"ROJO: repasar",IF(C3&gt;=3,"Vigilar","OK"))</f>
        <v>OK</v>
      </c>
    </row>
    <row r="4" customFormat="false" ht="15" hidden="false" customHeight="false" outlineLevel="0" collapsed="false">
      <c r="A4" s="9" t="s">
        <v>33</v>
      </c>
      <c r="B4" s="9" t="s">
        <v>36</v>
      </c>
      <c r="C4" s="4" t="n">
        <v>0</v>
      </c>
      <c r="D4" s="9" t="str">
        <f aca="false">IF(C4&gt;=5,"ROJO: repasar",IF(C4&gt;=3,"Vigilar","OK"))</f>
        <v>OK</v>
      </c>
    </row>
    <row r="5" customFormat="false" ht="15" hidden="false" customHeight="false" outlineLevel="0" collapsed="false">
      <c r="A5" s="9" t="s">
        <v>33</v>
      </c>
      <c r="B5" s="9" t="s">
        <v>37</v>
      </c>
      <c r="C5" s="4" t="n">
        <v>0</v>
      </c>
      <c r="D5" s="9" t="str">
        <f aca="false">IF(C5&gt;=5,"ROJO: repasar",IF(C5&gt;=3,"Vigilar","OK"))</f>
        <v>OK</v>
      </c>
    </row>
    <row r="6" customFormat="false" ht="15" hidden="false" customHeight="false" outlineLevel="0" collapsed="false">
      <c r="A6" s="9" t="s">
        <v>33</v>
      </c>
      <c r="B6" s="9" t="s">
        <v>38</v>
      </c>
      <c r="C6" s="4" t="n">
        <v>0</v>
      </c>
      <c r="D6" s="9" t="str">
        <f aca="false">IF(C6&gt;=5,"ROJO: repasar",IF(C6&gt;=3,"Vigilar","OK"))</f>
        <v>OK</v>
      </c>
    </row>
    <row r="7" customFormat="false" ht="15" hidden="false" customHeight="false" outlineLevel="0" collapsed="false">
      <c r="A7" s="9" t="s">
        <v>33</v>
      </c>
      <c r="B7" s="9" t="s">
        <v>39</v>
      </c>
      <c r="C7" s="4" t="n">
        <v>0</v>
      </c>
      <c r="D7" s="9" t="str">
        <f aca="false">IF(C7&gt;=5,"ROJO: repasar",IF(C7&gt;=3,"Vigilar","OK"))</f>
        <v>OK</v>
      </c>
    </row>
    <row r="8" customFormat="false" ht="15" hidden="false" customHeight="false" outlineLevel="0" collapsed="false">
      <c r="A8" s="9" t="s">
        <v>33</v>
      </c>
      <c r="B8" s="9" t="s">
        <v>40</v>
      </c>
      <c r="C8" s="4" t="n">
        <v>0</v>
      </c>
      <c r="D8" s="9" t="str">
        <f aca="false">IF(C8&gt;=5,"ROJO: repasar",IF(C8&gt;=3,"Vigilar","OK"))</f>
        <v>OK</v>
      </c>
    </row>
    <row r="9" customFormat="false" ht="15" hidden="false" customHeight="false" outlineLevel="0" collapsed="false">
      <c r="A9" s="9" t="s">
        <v>33</v>
      </c>
      <c r="B9" s="9" t="s">
        <v>41</v>
      </c>
      <c r="C9" s="4" t="n">
        <v>0</v>
      </c>
      <c r="D9" s="9" t="str">
        <f aca="false">IF(C9&gt;=5,"ROJO: repasar",IF(C9&gt;=3,"Vigilar","OK"))</f>
        <v>OK</v>
      </c>
    </row>
    <row r="10" customFormat="false" ht="15" hidden="false" customHeight="false" outlineLevel="0" collapsed="false">
      <c r="A10" s="9" t="s">
        <v>33</v>
      </c>
      <c r="B10" s="9" t="s">
        <v>42</v>
      </c>
      <c r="C10" s="4" t="n">
        <v>0</v>
      </c>
      <c r="D10" s="9" t="str">
        <f aca="false">IF(C10&gt;=5,"ROJO: repasar",IF(C10&gt;=3,"Vigilar","OK"))</f>
        <v>OK</v>
      </c>
    </row>
    <row r="11" customFormat="false" ht="15" hidden="false" customHeight="false" outlineLevel="0" collapsed="false">
      <c r="A11" s="9" t="s">
        <v>15</v>
      </c>
      <c r="B11" s="9" t="s">
        <v>43</v>
      </c>
      <c r="C11" s="4" t="n">
        <v>0</v>
      </c>
      <c r="D11" s="9" t="str">
        <f aca="false">IF(C11&gt;=5,"ROJO: repasar",IF(C11&gt;=3,"Vigilar","OK"))</f>
        <v>OK</v>
      </c>
    </row>
    <row r="12" customFormat="false" ht="15" hidden="false" customHeight="false" outlineLevel="0" collapsed="false">
      <c r="A12" s="9" t="s">
        <v>15</v>
      </c>
      <c r="B12" s="9" t="s">
        <v>44</v>
      </c>
      <c r="C12" s="4" t="n">
        <v>0</v>
      </c>
      <c r="D12" s="9" t="str">
        <f aca="false">IF(C12&gt;=5,"ROJO: repasar",IF(C12&gt;=3,"Vigilar","OK"))</f>
        <v>OK</v>
      </c>
    </row>
    <row r="13" customFormat="false" ht="15" hidden="false" customHeight="false" outlineLevel="0" collapsed="false">
      <c r="A13" s="9" t="s">
        <v>15</v>
      </c>
      <c r="B13" s="9" t="s">
        <v>45</v>
      </c>
      <c r="C13" s="4" t="n">
        <v>0</v>
      </c>
      <c r="D13" s="9" t="str">
        <f aca="false">IF(C13&gt;=5,"ROJO: repasar",IF(C13&gt;=3,"Vigilar","OK"))</f>
        <v>OK</v>
      </c>
    </row>
    <row r="14" customFormat="false" ht="15" hidden="false" customHeight="false" outlineLevel="0" collapsed="false">
      <c r="A14" s="9" t="s">
        <v>15</v>
      </c>
      <c r="B14" s="9" t="s">
        <v>46</v>
      </c>
      <c r="C14" s="4" t="n">
        <v>0</v>
      </c>
      <c r="D14" s="9" t="str">
        <f aca="false">IF(C14&gt;=5,"ROJO: repasar",IF(C14&gt;=3,"Vigilar","OK"))</f>
        <v>OK</v>
      </c>
    </row>
    <row r="15" customFormat="false" ht="15" hidden="false" customHeight="false" outlineLevel="0" collapsed="false">
      <c r="A15" s="9" t="s">
        <v>15</v>
      </c>
      <c r="B15" s="9" t="s">
        <v>47</v>
      </c>
      <c r="C15" s="4" t="n">
        <v>0</v>
      </c>
      <c r="D15" s="9" t="str">
        <f aca="false">IF(C15&gt;=5,"ROJO: repasar",IF(C15&gt;=3,"Vigilar","OK"))</f>
        <v>OK</v>
      </c>
    </row>
    <row r="16" customFormat="false" ht="15" hidden="false" customHeight="false" outlineLevel="0" collapsed="false">
      <c r="A16" s="9" t="s">
        <v>48</v>
      </c>
      <c r="B16" s="9" t="s">
        <v>49</v>
      </c>
      <c r="C16" s="4" t="n">
        <v>0</v>
      </c>
      <c r="D16" s="9" t="str">
        <f aca="false">IF(C16&gt;=5,"ROJO: repasar",IF(C16&gt;=3,"Vigilar","OK"))</f>
        <v>OK</v>
      </c>
    </row>
    <row r="17" customFormat="false" ht="15" hidden="false" customHeight="false" outlineLevel="0" collapsed="false">
      <c r="A17" s="9" t="s">
        <v>48</v>
      </c>
      <c r="B17" s="9" t="s">
        <v>50</v>
      </c>
      <c r="C17" s="4" t="n">
        <v>0</v>
      </c>
      <c r="D17" s="9" t="str">
        <f aca="false">IF(C17&gt;=5,"ROJO: repasar",IF(C17&gt;=3,"Vigilar","OK"))</f>
        <v>OK</v>
      </c>
    </row>
    <row r="18" customFormat="false" ht="15" hidden="false" customHeight="false" outlineLevel="0" collapsed="false">
      <c r="A18" s="9" t="s">
        <v>48</v>
      </c>
      <c r="B18" s="9" t="s">
        <v>51</v>
      </c>
      <c r="C18" s="4" t="n">
        <v>0</v>
      </c>
      <c r="D18" s="9" t="str">
        <f aca="false">IF(C18&gt;=5,"ROJO: repasar",IF(C18&gt;=3,"Vigilar","OK"))</f>
        <v>OK</v>
      </c>
    </row>
    <row r="19" customFormat="false" ht="15" hidden="false" customHeight="false" outlineLevel="0" collapsed="false">
      <c r="A19" s="9" t="s">
        <v>48</v>
      </c>
      <c r="B19" s="9" t="s">
        <v>52</v>
      </c>
      <c r="C19" s="4" t="n">
        <v>0</v>
      </c>
      <c r="D19" s="9" t="str">
        <f aca="false">IF(C19&gt;=5,"ROJO: repasar",IF(C19&gt;=3,"Vigilar","OK"))</f>
        <v>OK</v>
      </c>
    </row>
    <row r="20" customFormat="false" ht="15" hidden="false" customHeight="false" outlineLevel="0" collapsed="false">
      <c r="A20" s="9" t="s">
        <v>48</v>
      </c>
      <c r="B20" s="9" t="s">
        <v>53</v>
      </c>
      <c r="C20" s="4" t="n">
        <v>0</v>
      </c>
      <c r="D20" s="9" t="str">
        <f aca="false">IF(C20&gt;=5,"ROJO: repasar",IF(C20&gt;=3,"Vigilar","OK"))</f>
        <v>OK</v>
      </c>
    </row>
    <row r="21" customFormat="false" ht="15" hidden="false" customHeight="false" outlineLevel="0" collapsed="false">
      <c r="A21" s="9" t="s">
        <v>48</v>
      </c>
      <c r="B21" s="9" t="s">
        <v>54</v>
      </c>
      <c r="C21" s="4" t="n">
        <v>0</v>
      </c>
      <c r="D21" s="9" t="str">
        <f aca="false">IF(C21&gt;=5,"ROJO: repasar",IF(C21&gt;=3,"Vigilar","OK"))</f>
        <v>OK</v>
      </c>
    </row>
    <row r="22" customFormat="false" ht="15" hidden="false" customHeight="false" outlineLevel="0" collapsed="false">
      <c r="A22" s="9" t="s">
        <v>48</v>
      </c>
      <c r="B22" s="9" t="s">
        <v>55</v>
      </c>
      <c r="C22" s="4" t="n">
        <v>0</v>
      </c>
      <c r="D22" s="9" t="str">
        <f aca="false">IF(C22&gt;=5,"ROJO: repasar",IF(C22&gt;=3,"Vigilar","OK"))</f>
        <v>OK</v>
      </c>
    </row>
    <row r="23" customFormat="false" ht="15" hidden="false" customHeight="false" outlineLevel="0" collapsed="false">
      <c r="A23" s="9" t="s">
        <v>48</v>
      </c>
      <c r="B23" s="9" t="s">
        <v>56</v>
      </c>
      <c r="C23" s="4" t="n">
        <v>0</v>
      </c>
      <c r="D23" s="9" t="str">
        <f aca="false">IF(C23&gt;=5,"ROJO: repasar",IF(C23&gt;=3,"Vigilar","OK"))</f>
        <v>OK</v>
      </c>
    </row>
    <row r="24" customFormat="false" ht="15" hidden="false" customHeight="false" outlineLevel="0" collapsed="false">
      <c r="A24" s="9" t="s">
        <v>48</v>
      </c>
      <c r="B24" s="9" t="s">
        <v>57</v>
      </c>
      <c r="C24" s="4" t="n">
        <v>0</v>
      </c>
      <c r="D24" s="9" t="str">
        <f aca="false">IF(C24&gt;=5,"ROJO: repasar",IF(C24&gt;=3,"Vigilar","OK"))</f>
        <v>OK</v>
      </c>
    </row>
    <row r="25" customFormat="false" ht="15" hidden="false" customHeight="false" outlineLevel="0" collapsed="false">
      <c r="A25" s="9" t="s">
        <v>58</v>
      </c>
      <c r="B25" s="9" t="s">
        <v>59</v>
      </c>
      <c r="C25" s="4" t="n">
        <v>0</v>
      </c>
      <c r="D25" s="9" t="str">
        <f aca="false">IF(C25&gt;=5,"ROJO: repasar",IF(C25&gt;=3,"Vigilar","OK"))</f>
        <v>OK</v>
      </c>
    </row>
    <row r="26" customFormat="false" ht="15" hidden="false" customHeight="false" outlineLevel="0" collapsed="false">
      <c r="A26" s="9" t="s">
        <v>58</v>
      </c>
      <c r="B26" s="9" t="s">
        <v>60</v>
      </c>
      <c r="C26" s="4" t="n">
        <v>0</v>
      </c>
      <c r="D26" s="9" t="str">
        <f aca="false">IF(C26&gt;=5,"ROJO: repasar",IF(C26&gt;=3,"Vigilar","OK"))</f>
        <v>OK</v>
      </c>
    </row>
    <row r="27" customFormat="false" ht="15" hidden="false" customHeight="false" outlineLevel="0" collapsed="false">
      <c r="A27" s="9" t="s">
        <v>58</v>
      </c>
      <c r="B27" s="9" t="s">
        <v>61</v>
      </c>
      <c r="C27" s="4" t="n">
        <v>0</v>
      </c>
      <c r="D27" s="9" t="str">
        <f aca="false">IF(C27&gt;=5,"ROJO: repasar",IF(C27&gt;=3,"Vigilar","OK"))</f>
        <v>OK</v>
      </c>
    </row>
    <row r="28" customFormat="false" ht="15" hidden="false" customHeight="false" outlineLevel="0" collapsed="false">
      <c r="A28" s="9" t="s">
        <v>58</v>
      </c>
      <c r="B28" s="9" t="s">
        <v>62</v>
      </c>
      <c r="C28" s="4" t="n">
        <v>0</v>
      </c>
      <c r="D28" s="9" t="str">
        <f aca="false">IF(C28&gt;=5,"ROJO: repasar",IF(C28&gt;=3,"Vigilar","OK"))</f>
        <v>OK</v>
      </c>
    </row>
    <row r="29" customFormat="false" ht="15" hidden="false" customHeight="false" outlineLevel="0" collapsed="false">
      <c r="A29" s="9" t="s">
        <v>58</v>
      </c>
      <c r="B29" s="9" t="s">
        <v>63</v>
      </c>
      <c r="C29" s="4" t="n">
        <v>0</v>
      </c>
      <c r="D29" s="9" t="str">
        <f aca="false">IF(C29&gt;=5,"ROJO: repasar",IF(C29&gt;=3,"Vigilar","OK"))</f>
        <v>OK</v>
      </c>
    </row>
    <row r="30" customFormat="false" ht="15" hidden="false" customHeight="false" outlineLevel="0" collapsed="false">
      <c r="A30" s="9" t="s">
        <v>58</v>
      </c>
      <c r="B30" s="9" t="s">
        <v>64</v>
      </c>
      <c r="C30" s="4" t="n">
        <v>0</v>
      </c>
      <c r="D30" s="9" t="str">
        <f aca="false">IF(C30&gt;=5,"ROJO: repasar",IF(C30&gt;=3,"Vigilar","OK"))</f>
        <v>OK</v>
      </c>
    </row>
    <row r="31" customFormat="false" ht="15" hidden="false" customHeight="false" outlineLevel="0" collapsed="false">
      <c r="A31" s="9" t="s">
        <v>58</v>
      </c>
      <c r="B31" s="9" t="s">
        <v>65</v>
      </c>
      <c r="C31" s="4" t="n">
        <v>0</v>
      </c>
      <c r="D31" s="9" t="str">
        <f aca="false">IF(C31&gt;=5,"ROJO: repasar",IF(C31&gt;=3,"Vigilar","OK"))</f>
        <v>OK</v>
      </c>
    </row>
    <row r="32" customFormat="false" ht="15" hidden="false" customHeight="false" outlineLevel="0" collapsed="false">
      <c r="A32" s="9" t="s">
        <v>58</v>
      </c>
      <c r="B32" s="9" t="s">
        <v>66</v>
      </c>
      <c r="C32" s="4" t="n">
        <v>0</v>
      </c>
      <c r="D32" s="9" t="str">
        <f aca="false">IF(C32&gt;=5,"ROJO: repasar",IF(C32&gt;=3,"Vigilar","OK"))</f>
        <v>OK</v>
      </c>
    </row>
    <row r="33" customFormat="false" ht="15" hidden="false" customHeight="false" outlineLevel="0" collapsed="false">
      <c r="A33" s="9" t="s">
        <v>58</v>
      </c>
      <c r="B33" s="9" t="s">
        <v>67</v>
      </c>
      <c r="C33" s="4" t="n">
        <v>0</v>
      </c>
      <c r="D33" s="9" t="str">
        <f aca="false">IF(C33&gt;=5,"ROJO: repasar",IF(C33&gt;=3,"Vigilar","OK"))</f>
        <v>OK</v>
      </c>
    </row>
    <row r="34" customFormat="false" ht="15" hidden="false" customHeight="false" outlineLevel="0" collapsed="false">
      <c r="A34" s="9" t="s">
        <v>58</v>
      </c>
      <c r="B34" s="9" t="s">
        <v>68</v>
      </c>
      <c r="C34" s="4" t="n">
        <v>0</v>
      </c>
      <c r="D34" s="9" t="str">
        <f aca="false">IF(C34&gt;=5,"ROJO: repasar",IF(C34&gt;=3,"Vigilar","OK"))</f>
        <v>OK</v>
      </c>
    </row>
    <row r="36" customFormat="false" ht="15" hidden="false" customHeight="false" outlineLevel="0" collapsed="false">
      <c r="B36" s="1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2026-07-12T20:14:07Z</dcterms:created>
  <dc:creator>openpyxl</dc:creator>
  <dc:description/>
  <dc:language>en-US</dc:language>
  <cp:lastModifiedBy/>
  <dcterms:modified xsi:type="dcterms:W3CDTF">2026-07-12T20:14:07Z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